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32CBEC6-7DB0-42C4-882D-342CF4D32E0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Dataset!$B$1:$H$32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C2" i="2" l="1"/>
  <c r="O44" i="2"/>
  <c r="O42" i="2"/>
  <c r="O43" i="2"/>
  <c r="O40" i="2"/>
  <c r="O41" i="2"/>
  <c r="O37" i="2"/>
  <c r="O38" i="2"/>
  <c r="O39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15" i="2"/>
  <c r="O16" i="2"/>
  <c r="O1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</calcChain>
</file>

<file path=xl/sharedStrings.xml><?xml version="1.0" encoding="utf-8"?>
<sst xmlns="http://schemas.openxmlformats.org/spreadsheetml/2006/main" count="185" uniqueCount="149">
  <si>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</si>
  <si>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</si>
  <si>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</si>
  <si>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</si>
  <si>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</si>
  <si>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</si>
  <si>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</si>
  <si>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</si>
  <si>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</si>
  <si>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</si>
  <si>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</si>
  <si>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</si>
  <si>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</si>
  <si>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</si>
  <si>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</si>
  <si>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</si>
  <si>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</si>
  <si>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</si>
  <si>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</si>
  <si>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</si>
  <si>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</si>
  <si>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</si>
  <si>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</si>
  <si>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</si>
  <si>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</si>
  <si>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</si>
  <si>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</si>
  <si>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</si>
  <si>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</si>
  <si>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</si>
  <si>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</si>
  <si>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</si>
  <si>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</si>
  <si>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</si>
  <si>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</si>
  <si>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</si>
  <si>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</si>
  <si>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</si>
  <si>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</si>
  <si>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</si>
  <si>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</si>
  <si>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</si>
  <si>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</si>
  <si>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</si>
  <si>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</si>
  <si>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</si>
  <si>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</si>
  <si>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</si>
  <si>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</si>
  <si>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</si>
  <si>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</si>
  <si>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</si>
  <si>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</si>
  <si>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</si>
  <si>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</si>
  <si>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</si>
  <si>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</si>
  <si>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</si>
  <si>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</si>
  <si>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</si>
  <si>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</si>
  <si>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</si>
  <si>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</si>
  <si>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</si>
  <si>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</si>
  <si>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</si>
  <si>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</si>
  <si>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</si>
  <si>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</si>
  <si>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</si>
  <si>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</si>
  <si>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</si>
  <si>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</si>
  <si>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</si>
  <si>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</si>
  <si>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</si>
  <si>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</si>
  <si>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</si>
  <si>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</si>
  <si>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</si>
  <si>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</si>
  <si>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</si>
  <si>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</si>
  <si>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</si>
  <si>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</si>
  <si>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</si>
  <si>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</si>
  <si>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</si>
  <si>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</si>
  <si>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</si>
  <si>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</si>
  <si>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</si>
  <si>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</si>
  <si>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</si>
  <si>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</si>
  <si>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</si>
  <si>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</si>
  <si>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</si>
  <si>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</si>
  <si>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</si>
  <si>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</si>
  <si>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</si>
  <si>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</si>
  <si>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</si>
  <si>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</si>
  <si>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</si>
  <si>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</si>
  <si>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</si>
  <si>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</si>
  <si>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</si>
  <si>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</si>
  <si>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</si>
  <si>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</si>
  <si>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Manufacturing Date</t>
  </si>
  <si>
    <t>Country Code</t>
  </si>
  <si>
    <t>Product Brand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</si>
  <si>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</si>
  <si>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</si>
  <si>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</si>
  <si>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</si>
  <si>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</si>
  <si>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</si>
  <si>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</si>
  <si>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</si>
  <si>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</si>
  <si>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</si>
  <si>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</si>
  <si>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</si>
  <si>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</si>
  <si>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</si>
  <si>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</si>
  <si>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</si>
  <si>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</si>
  <si>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</si>
  <si>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</si>
  <si>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</si>
  <si>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</si>
  <si>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</si>
  <si>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</si>
  <si>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</si>
  <si>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</si>
  <si>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</si>
  <si>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</si>
  <si>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</si>
  <si>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</si>
  <si>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</si>
  <si>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</si>
  <si>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=DATEVALUE(A2&amp;"</t>
  </si>
  <si>
    <t>2026")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</si>
</sst>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dd\ mm\ 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10" fillId="0" borderId="0" xfId="0" applyFont="1"/>
    <xf numFmtId="0" fontId="8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0" fillId="0" borderId="0" xfId="0" applyNumberFormat="1"/>
    <xf numFmtId="165" fontId="9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right"/>
    </xf>
    <xf numFmtId="164" fontId="5" fillId="3" borderId="0" xfId="0" applyNumberFormat="1" applyFont="1" applyFill="1" applyAlignment="1">
      <alignment horizontal="right"/>
    </xf>
  </cellXfs>
  <cellStyles count="1">
    <cellStyle name="Normal" xfId="0" builtinId="0"/>
  </cellStyles>
  <dxfs count="5">
    <dxf>
      <fill>
        <patternFill>
          <bgColor theme="9" tint="-0.24994659260841701"/>
        </patternFill>
      </fill>
    </dxf>
    <dxf>
      <numFmt numFmtId="164" formatCode="[$$-409]#,##0.00"/>
    </dxf>
    <dxf>
      <numFmt numFmtId="0" formatCode="General"/>
    </dxf>
    <dxf>
      <numFmt numFmtId="165" formatCode="dd\ 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DD19B-1137-49EC-A31E-F5C55267645E}" name="Table1" displayName="Table1" ref="A1:I32" totalsRowShown="0" headerRowDxfId="4">
  <autoFilter ref="A1:I32" xr:uid="{922DD19B-1137-49EC-A31E-F5C55267645E}"/>
  <tableColumns count="9">
    <tableColumn id="3" xr3:uid="{3C92393F-B5E4-4CA6-BFA1-374CD8540F21}" name="Product ID"/>
    <tableColumn id="1" xr3:uid="{B7B1F1D1-DAF0-4DE3-A650-015AA358E7E7}" name="Manufacturing Date" dataDxfId="3">
      <calculatedColumnFormula>LEFT(Table1[[#This Row],[Product ID]],6)</calculatedColumnFormula>
    </tableColumn>
    <tableColumn id="2" xr3:uid="{9E9ABA5A-C423-4F1C-AED3-EBF4202840C6}" name="Country Code" dataDxfId="2">
      <calculatedColumnFormula>RIGHT(Table1[[#This Row],[Product ID]],2)</calculatedColumnFormula>
    </tableColumn>
    <tableColumn id="4" xr3:uid="{C60766CB-8189-4683-85DC-350B64923A98}" name="Product Name"/>
    <tableColumn id="5" xr3:uid="{A98E3F09-B0FA-4043-BED8-DCC8D999B6CB}" name="Brand Name"/>
    <tableColumn id="6" xr3:uid="{FE0EFD05-35F3-4768-AC67-0DAF3BCBCF9C}" name="Price ($)" dataDxfId="1"/>
    <tableColumn id="7" xr3:uid="{4DE712C9-5950-4D66-BBC2-2D3E0ADB7786}" name="Quantity"/>
    <tableColumn id="8" xr3:uid="{C8B5F820-BD06-44C5-B6A4-C1FC9455E5FB}" name="Category"/>
    <tableColumn id="9" xr3:uid="{7DA45849-ED4A-4170-8666-53A875DFE09D}" name="Product Br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I22" sqref="I22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topLeftCell="A4" workbookViewId="0">
      <selection activeCell="K48" sqref="K48"/>
    </sheetView>
  </sheetViews>
  <sheetFormatPr defaultColWidth="12.6328125" defaultRowHeight="15" customHeight="1" x14ac:dyDescent="0.25"/>
  <cols>
    <col min="2" max="2" width="19.7265625" style="15" customWidth="1"/>
    <col min="3" max="3" width="14.7265625" customWidth="1"/>
    <col min="4" max="4" width="17.90625" customWidth="1"/>
    <col min="5" max="5" width="15.1796875" customWidth="1"/>
    <col min="6" max="6" width="12.6328125" style="13" customWidth="1"/>
    <col min="7" max="8" width="12.6328125" customWidth="1"/>
    <col min="9" max="9" width="23.1796875" style="10" customWidth="1"/>
  </cols>
  <sheetData>
    <row r="1" spans="1:18" ht="15.75" customHeight="1" x14ac:dyDescent="0.3">
      <c r="A1" s="7" t="s">
        <v>19</v>
      </c>
      <c r="B1" s="14" t="s">
        <v>113</v>
      </c>
      <c r="C1" s="9" t="s">
        <v>114</v>
      </c>
      <c r="D1" s="7" t="s">
        <v>20</v>
      </c>
      <c r="E1" s="7" t="s">
        <v>21</v>
      </c>
      <c r="F1" s="12" t="s">
        <v>22</v>
      </c>
      <c r="G1" s="7" t="s">
        <v>23</v>
      </c>
      <c r="H1" s="7" t="s">
        <v>24</v>
      </c>
      <c r="I1" s="11" t="s">
        <v>115</v>
      </c>
    </row>
    <row r="2" spans="1:18" ht="15.75" customHeight="1" x14ac:dyDescent="0.25">
      <c r="A2" s="5" t="s">
        <v>25</v>
      </c>
      <c r="B2" s="15">
        <v>46050</v>
      </c>
      <c r="C2" s="16" t="str">
        <f>RIGHT(Table1[[#This Row],[Product ID]],2)</f>
        <v>US</v>
      </c>
      <c r="D2" s="5" t="s">
        <v>58</v>
      </c>
      <c r="E2" s="5" t="s">
        <v>26</v>
      </c>
      <c r="F2" s="17">
        <v>130</v>
      </c>
      <c r="G2" s="5">
        <v>30</v>
      </c>
      <c r="H2" s="5" t="s">
        <v>27</v>
      </c>
      <c r="I2" s="10" t="s">
        <v>116</v>
      </c>
    </row>
    <row r="3" spans="1:18" ht="15.75" customHeight="1" x14ac:dyDescent="0.3">
      <c r="A3" s="8" t="s">
        <v>28</v>
      </c>
      <c r="B3" s="15">
        <v>46068</v>
      </c>
      <c r="C3" s="16" t="str">
        <f>RIGHT(Table1[[#This Row],[Product ID]],2)</f>
        <v>US</v>
      </c>
      <c r="D3" s="8" t="s">
        <v>29</v>
      </c>
      <c r="E3" s="8" t="s">
        <v>30</v>
      </c>
      <c r="F3" s="18">
        <v>80</v>
      </c>
      <c r="G3" s="8">
        <v>15</v>
      </c>
      <c r="H3" s="8" t="s">
        <v>31</v>
      </c>
      <c r="I3" s="10" t="s">
        <v>117</v>
      </c>
      <c r="K3" s="2"/>
      <c r="L3" s="5"/>
      <c r="M3" s="5"/>
      <c r="N3" s="5"/>
      <c r="O3" s="5"/>
      <c r="P3" s="5"/>
      <c r="Q3" s="5"/>
      <c r="R3" s="5"/>
    </row>
    <row r="4" spans="1:18" ht="15.75" customHeight="1" x14ac:dyDescent="0.35">
      <c r="A4" s="5" t="s">
        <v>32</v>
      </c>
      <c r="B4" s="15">
        <v>46084</v>
      </c>
      <c r="C4" s="16" t="str">
        <f>RIGHT(Table1[[#This Row],[Product ID]],2)</f>
        <v>US</v>
      </c>
      <c r="D4" s="5" t="s">
        <v>33</v>
      </c>
      <c r="E4" s="5" t="s">
        <v>34</v>
      </c>
      <c r="F4" s="17">
        <v>130</v>
      </c>
      <c r="G4" s="5">
        <v>40</v>
      </c>
      <c r="H4" s="5" t="s">
        <v>35</v>
      </c>
      <c r="I4" s="10" t="s">
        <v>118</v>
      </c>
      <c r="K4" s="5"/>
      <c r="L4" s="3"/>
      <c r="M4" s="5"/>
      <c r="N4" s="5"/>
      <c r="O4" s="5"/>
      <c r="P4" s="5"/>
      <c r="Q4" s="5"/>
      <c r="R4" s="5"/>
    </row>
    <row r="5" spans="1:18" ht="15.75" customHeight="1" x14ac:dyDescent="0.35">
      <c r="A5" s="8" t="s">
        <v>36</v>
      </c>
      <c r="B5" s="15">
        <v>46123</v>
      </c>
      <c r="C5" s="16" t="str">
        <f>RIGHT(Table1[[#This Row],[Product ID]],2)</f>
        <v>US</v>
      </c>
      <c r="D5" s="8" t="s">
        <v>92</v>
      </c>
      <c r="E5" s="8" t="s">
        <v>37</v>
      </c>
      <c r="F5" s="18">
        <v>900</v>
      </c>
      <c r="G5" s="8">
        <v>25</v>
      </c>
      <c r="H5" s="8" t="s">
        <v>27</v>
      </c>
      <c r="I5" s="10" t="s">
        <v>119</v>
      </c>
      <c r="K5" s="5"/>
      <c r="L5" s="3"/>
      <c r="M5" s="5"/>
      <c r="N5" s="5"/>
      <c r="O5" s="5"/>
      <c r="P5" s="5"/>
      <c r="Q5" s="5"/>
      <c r="R5" s="5"/>
    </row>
    <row r="6" spans="1:18" ht="15.75" customHeight="1" x14ac:dyDescent="0.25">
      <c r="A6" s="5" t="s">
        <v>38</v>
      </c>
      <c r="B6" s="15">
        <v>46164</v>
      </c>
      <c r="C6" s="16" t="str">
        <f>RIGHT(Table1[[#This Row],[Product ID]],2)</f>
        <v>US</v>
      </c>
      <c r="D6" s="5" t="s">
        <v>39</v>
      </c>
      <c r="E6" s="5" t="s">
        <v>40</v>
      </c>
      <c r="F6" s="17">
        <v>70</v>
      </c>
      <c r="G6" s="5">
        <v>20</v>
      </c>
      <c r="H6" s="5" t="s">
        <v>112</v>
      </c>
      <c r="I6" s="10" t="s">
        <v>120</v>
      </c>
    </row>
    <row r="7" spans="1:18" ht="15.75" customHeight="1" x14ac:dyDescent="0.25">
      <c r="A7" s="8" t="s">
        <v>41</v>
      </c>
      <c r="B7" s="15">
        <v>46180</v>
      </c>
      <c r="C7" s="16" t="str">
        <f>RIGHT(Table1[[#This Row],[Product ID]],2)</f>
        <v>UK</v>
      </c>
      <c r="D7" s="8" t="s">
        <v>42</v>
      </c>
      <c r="E7" s="8" t="s">
        <v>43</v>
      </c>
      <c r="F7" s="18">
        <v>130</v>
      </c>
      <c r="G7" s="8">
        <v>45</v>
      </c>
      <c r="H7" s="8" t="s">
        <v>27</v>
      </c>
      <c r="I7" s="10" t="s">
        <v>121</v>
      </c>
    </row>
    <row r="8" spans="1:18" ht="15.75" customHeight="1" x14ac:dyDescent="0.25">
      <c r="A8" s="5" t="s">
        <v>44</v>
      </c>
      <c r="B8" s="15">
        <v>46222</v>
      </c>
      <c r="C8" s="16" t="str">
        <f>RIGHT(Table1[[#This Row],[Product ID]],2)</f>
        <v>UK</v>
      </c>
      <c r="D8" s="5" t="s">
        <v>45</v>
      </c>
      <c r="E8" s="5" t="s">
        <v>46</v>
      </c>
      <c r="F8" s="17">
        <v>30</v>
      </c>
      <c r="G8" s="5">
        <v>5</v>
      </c>
      <c r="H8" s="5" t="s">
        <v>31</v>
      </c>
      <c r="I8" s="10" t="s">
        <v>122</v>
      </c>
    </row>
    <row r="9" spans="1:18" ht="15.75" customHeight="1" x14ac:dyDescent="0.25">
      <c r="A9" s="8" t="s">
        <v>47</v>
      </c>
      <c r="B9" s="15">
        <v>46257</v>
      </c>
      <c r="C9" s="16" t="str">
        <f>RIGHT(Table1[[#This Row],[Product ID]],2)</f>
        <v>UK</v>
      </c>
      <c r="D9" s="8" t="s">
        <v>48</v>
      </c>
      <c r="E9" s="8" t="s">
        <v>49</v>
      </c>
      <c r="F9" s="18">
        <v>90</v>
      </c>
      <c r="G9" s="8">
        <v>35</v>
      </c>
      <c r="H9" s="8" t="s">
        <v>35</v>
      </c>
      <c r="I9" s="10" t="s">
        <v>123</v>
      </c>
    </row>
    <row r="10" spans="1:18" ht="15.75" customHeight="1" x14ac:dyDescent="0.25">
      <c r="A10" s="5" t="s">
        <v>50</v>
      </c>
      <c r="B10" s="15">
        <v>46270</v>
      </c>
      <c r="C10" s="16" t="str">
        <f>RIGHT(Table1[[#This Row],[Product ID]],2)</f>
        <v>UK</v>
      </c>
      <c r="D10" s="5" t="s">
        <v>51</v>
      </c>
      <c r="E10" s="5" t="s">
        <v>52</v>
      </c>
      <c r="F10" s="17">
        <v>500</v>
      </c>
      <c r="G10" s="5">
        <v>50</v>
      </c>
      <c r="H10" s="5" t="s">
        <v>27</v>
      </c>
      <c r="I10" s="10" t="s">
        <v>124</v>
      </c>
    </row>
    <row r="11" spans="1:18" ht="15.75" customHeight="1" x14ac:dyDescent="0.25">
      <c r="A11" s="8" t="s">
        <v>53</v>
      </c>
      <c r="B11" s="15">
        <v>46309</v>
      </c>
      <c r="C11" s="16" t="str">
        <f>RIGHT(Table1[[#This Row],[Product ID]],2)</f>
        <v>UK</v>
      </c>
      <c r="D11" s="8" t="s">
        <v>54</v>
      </c>
      <c r="E11" s="8" t="s">
        <v>55</v>
      </c>
      <c r="F11" s="18">
        <v>130</v>
      </c>
      <c r="G11" s="8">
        <v>10</v>
      </c>
      <c r="H11" s="8" t="s">
        <v>56</v>
      </c>
      <c r="I11" s="10" t="s">
        <v>125</v>
      </c>
    </row>
    <row r="12" spans="1:18" ht="15.75" customHeight="1" x14ac:dyDescent="0.25">
      <c r="A12" s="5" t="s">
        <v>57</v>
      </c>
      <c r="B12" s="15">
        <v>46190</v>
      </c>
      <c r="C12" s="16" t="str">
        <f>RIGHT(Table1[[#This Row],[Product ID]],2)</f>
        <v>IN</v>
      </c>
      <c r="D12" s="5" t="s">
        <v>58</v>
      </c>
      <c r="E12" s="5" t="s">
        <v>59</v>
      </c>
      <c r="F12" s="17">
        <v>950</v>
      </c>
      <c r="G12" s="5">
        <v>25</v>
      </c>
      <c r="H12" s="5" t="s">
        <v>27</v>
      </c>
      <c r="I12" s="10" t="s">
        <v>126</v>
      </c>
      <c r="O12" t="s">
        <v>147</v>
      </c>
      <c r="P12" t="s">
        <v>148</v>
      </c>
    </row>
    <row r="13" spans="1:18" ht="15.75" customHeight="1" x14ac:dyDescent="0.25">
      <c r="A13" s="8" t="s">
        <v>60</v>
      </c>
      <c r="B13" s="15">
        <v>46351</v>
      </c>
      <c r="C13" s="16" t="str">
        <f>RIGHT(Table1[[#This Row],[Product ID]],2)</f>
        <v>AU</v>
      </c>
      <c r="D13" s="8" t="s">
        <v>29</v>
      </c>
      <c r="E13" s="8" t="s">
        <v>46</v>
      </c>
      <c r="F13" s="18">
        <v>90</v>
      </c>
      <c r="G13" s="8">
        <v>40</v>
      </c>
      <c r="H13" s="8" t="s">
        <v>112</v>
      </c>
      <c r="I13" s="10" t="s">
        <v>127</v>
      </c>
    </row>
    <row r="14" spans="1:18" ht="15.75" customHeight="1" x14ac:dyDescent="0.25">
      <c r="A14" s="5" t="s">
        <v>61</v>
      </c>
      <c r="B14" s="15">
        <v>46364</v>
      </c>
      <c r="C14" s="16" t="str">
        <f>RIGHT(Table1[[#This Row],[Product ID]],2)</f>
        <v>DE</v>
      </c>
      <c r="D14" s="5" t="s">
        <v>33</v>
      </c>
      <c r="E14" s="5" t="s">
        <v>62</v>
      </c>
      <c r="F14" s="17">
        <v>120</v>
      </c>
      <c r="G14" s="5">
        <v>35</v>
      </c>
      <c r="H14" s="5" t="s">
        <v>112</v>
      </c>
      <c r="I14" s="10" t="s">
        <v>128</v>
      </c>
      <c r="O14" s="15" t="e">
        <f>DATEVALUE(SUBSTITUTE(B2," ","")&amp;"-2026")</f>
        <v>#VALUE!</v>
      </c>
    </row>
    <row r="15" spans="1:18" ht="15.75" customHeight="1" x14ac:dyDescent="0.25">
      <c r="A15" s="8" t="s">
        <v>63</v>
      </c>
      <c r="B15" s="15">
        <v>46071</v>
      </c>
      <c r="C15" s="16" t="str">
        <f>RIGHT(Table1[[#This Row],[Product ID]],2)</f>
        <v>CA</v>
      </c>
      <c r="D15" s="8" t="s">
        <v>64</v>
      </c>
      <c r="E15" s="8" t="s">
        <v>65</v>
      </c>
      <c r="F15" s="18">
        <v>150</v>
      </c>
      <c r="G15" s="8">
        <v>15</v>
      </c>
      <c r="H15" s="8" t="s">
        <v>27</v>
      </c>
      <c r="I15" s="10" t="s">
        <v>129</v>
      </c>
      <c r="O15" s="15" t="e">
        <f t="shared" ref="O15:O43" si="0">DATEVALUE(SUBSTITUTE(B3," ","")&amp;"-2026")</f>
        <v>#VALUE!</v>
      </c>
    </row>
    <row r="16" spans="1:18" ht="15.75" customHeight="1" x14ac:dyDescent="0.25">
      <c r="A16" s="5" t="s">
        <v>66</v>
      </c>
      <c r="B16" s="15">
        <v>46128</v>
      </c>
      <c r="C16" s="16" t="str">
        <f>RIGHT(Table1[[#This Row],[Product ID]],2)</f>
        <v>ES</v>
      </c>
      <c r="D16" s="5" t="s">
        <v>42</v>
      </c>
      <c r="E16" s="5" t="s">
        <v>67</v>
      </c>
      <c r="F16" s="17">
        <v>250</v>
      </c>
      <c r="G16" s="5">
        <v>20</v>
      </c>
      <c r="H16" s="5" t="s">
        <v>27</v>
      </c>
      <c r="I16" s="10" t="s">
        <v>130</v>
      </c>
      <c r="O16" s="15" t="e">
        <f t="shared" si="0"/>
        <v>#VALUE!</v>
      </c>
    </row>
    <row r="17" spans="1:15" ht="15.75" customHeight="1" x14ac:dyDescent="0.25">
      <c r="A17" s="8" t="s">
        <v>68</v>
      </c>
      <c r="B17" s="15">
        <v>46255</v>
      </c>
      <c r="C17" s="16" t="str">
        <f>RIGHT(Table1[[#This Row],[Product ID]],2)</f>
        <v>CA</v>
      </c>
      <c r="D17" s="8" t="s">
        <v>69</v>
      </c>
      <c r="E17" s="8" t="s">
        <v>70</v>
      </c>
      <c r="F17" s="18">
        <v>50</v>
      </c>
      <c r="G17" s="8">
        <v>35</v>
      </c>
      <c r="H17" s="8" t="s">
        <v>71</v>
      </c>
      <c r="I17" s="10" t="s">
        <v>131</v>
      </c>
      <c r="O17" s="15" t="e">
        <f t="shared" si="0"/>
        <v>#VALUE!</v>
      </c>
    </row>
    <row r="18" spans="1:15" ht="15.75" customHeight="1" x14ac:dyDescent="0.25">
      <c r="A18" s="5" t="s">
        <v>72</v>
      </c>
      <c r="B18" s="15">
        <v>46254</v>
      </c>
      <c r="C18" s="16" t="str">
        <f>RIGHT(Table1[[#This Row],[Product ID]],2)</f>
        <v>CN</v>
      </c>
      <c r="D18" s="5" t="s">
        <v>64</v>
      </c>
      <c r="E18" s="5" t="s">
        <v>73</v>
      </c>
      <c r="F18" s="17">
        <v>160</v>
      </c>
      <c r="G18" s="5">
        <v>15</v>
      </c>
      <c r="H18" s="5" t="s">
        <v>27</v>
      </c>
      <c r="I18" s="10" t="s">
        <v>132</v>
      </c>
      <c r="O18" s="15" t="e">
        <f t="shared" si="0"/>
        <v>#VALUE!</v>
      </c>
    </row>
    <row r="19" spans="1:15" ht="15.75" customHeight="1" x14ac:dyDescent="0.25">
      <c r="A19" s="8" t="s">
        <v>74</v>
      </c>
      <c r="B19" s="15">
        <v>46049</v>
      </c>
      <c r="C19" s="16" t="str">
        <f>RIGHT(Table1[[#This Row],[Product ID]],2)</f>
        <v>IT</v>
      </c>
      <c r="D19" s="8" t="s">
        <v>58</v>
      </c>
      <c r="E19" s="8" t="s">
        <v>75</v>
      </c>
      <c r="F19" s="18">
        <v>980</v>
      </c>
      <c r="G19" s="8">
        <v>10</v>
      </c>
      <c r="H19" s="8" t="s">
        <v>27</v>
      </c>
      <c r="I19" s="10" t="s">
        <v>133</v>
      </c>
      <c r="O19" s="15" t="e">
        <f t="shared" si="0"/>
        <v>#VALUE!</v>
      </c>
    </row>
    <row r="20" spans="1:15" ht="15.75" customHeight="1" x14ac:dyDescent="0.25">
      <c r="A20" s="5" t="s">
        <v>76</v>
      </c>
      <c r="B20" s="15">
        <v>46082</v>
      </c>
      <c r="C20" s="16" t="str">
        <f>RIGHT(Table1[[#This Row],[Product ID]],2)</f>
        <v>UK</v>
      </c>
      <c r="D20" s="5" t="s">
        <v>77</v>
      </c>
      <c r="E20" s="5" t="s">
        <v>78</v>
      </c>
      <c r="F20" s="17">
        <v>150</v>
      </c>
      <c r="G20" s="5">
        <v>15</v>
      </c>
      <c r="H20" s="5" t="s">
        <v>31</v>
      </c>
      <c r="I20" s="10" t="s">
        <v>134</v>
      </c>
      <c r="O20" s="15" t="e">
        <f t="shared" si="0"/>
        <v>#VALUE!</v>
      </c>
    </row>
    <row r="21" spans="1:15" ht="15.75" customHeight="1" x14ac:dyDescent="0.25">
      <c r="A21" s="8" t="s">
        <v>79</v>
      </c>
      <c r="B21" s="15">
        <v>46248</v>
      </c>
      <c r="C21" s="16" t="str">
        <f>RIGHT(Table1[[#This Row],[Product ID]],2)</f>
        <v>US</v>
      </c>
      <c r="D21" s="8" t="s">
        <v>80</v>
      </c>
      <c r="E21" s="8" t="s">
        <v>81</v>
      </c>
      <c r="F21" s="18">
        <v>130</v>
      </c>
      <c r="G21" s="8">
        <v>10</v>
      </c>
      <c r="H21" s="8" t="s">
        <v>56</v>
      </c>
      <c r="I21" s="10" t="s">
        <v>135</v>
      </c>
      <c r="O21" s="15" t="e">
        <f t="shared" si="0"/>
        <v>#VALUE!</v>
      </c>
    </row>
    <row r="22" spans="1:15" ht="15.75" customHeight="1" x14ac:dyDescent="0.25">
      <c r="A22" s="5" t="s">
        <v>82</v>
      </c>
      <c r="B22" s="15">
        <v>46156</v>
      </c>
      <c r="C22" s="16" t="str">
        <f>RIGHT(Table1[[#This Row],[Product ID]],2)</f>
        <v>RU</v>
      </c>
      <c r="D22" s="5" t="s">
        <v>83</v>
      </c>
      <c r="E22" s="5" t="s">
        <v>84</v>
      </c>
      <c r="F22" s="17">
        <v>700</v>
      </c>
      <c r="G22" s="5">
        <v>50</v>
      </c>
      <c r="H22" s="5" t="s">
        <v>27</v>
      </c>
      <c r="I22" s="10" t="s">
        <v>136</v>
      </c>
      <c r="O22" s="15" t="e">
        <f t="shared" si="0"/>
        <v>#VALUE!</v>
      </c>
    </row>
    <row r="23" spans="1:15" ht="15.75" customHeight="1" x14ac:dyDescent="0.25">
      <c r="A23" s="8" t="s">
        <v>85</v>
      </c>
      <c r="B23" s="15">
        <v>46031</v>
      </c>
      <c r="C23" s="16" t="str">
        <f>RIGHT(Table1[[#This Row],[Product ID]],2)</f>
        <v>CA</v>
      </c>
      <c r="D23" s="8" t="s">
        <v>86</v>
      </c>
      <c r="E23" s="8" t="s">
        <v>87</v>
      </c>
      <c r="F23" s="18">
        <v>80</v>
      </c>
      <c r="G23" s="8">
        <v>20</v>
      </c>
      <c r="H23" s="8" t="s">
        <v>35</v>
      </c>
      <c r="I23" s="10" t="s">
        <v>137</v>
      </c>
      <c r="O23" s="15" t="e">
        <f t="shared" si="0"/>
        <v>#VALUE!</v>
      </c>
    </row>
    <row r="24" spans="1:15" ht="15.75" customHeight="1" x14ac:dyDescent="0.25">
      <c r="A24" s="5" t="s">
        <v>88</v>
      </c>
      <c r="B24" s="15">
        <v>46222</v>
      </c>
      <c r="C24" s="16" t="str">
        <f>RIGHT(Table1[[#This Row],[Product ID]],2)</f>
        <v>BR</v>
      </c>
      <c r="D24" s="5" t="s">
        <v>89</v>
      </c>
      <c r="E24" s="5" t="s">
        <v>90</v>
      </c>
      <c r="F24" s="17">
        <v>150</v>
      </c>
      <c r="G24" s="5">
        <v>30</v>
      </c>
      <c r="H24" s="5" t="s">
        <v>112</v>
      </c>
      <c r="I24" s="10" t="s">
        <v>138</v>
      </c>
      <c r="O24" s="15" t="e">
        <f t="shared" si="0"/>
        <v>#VALUE!</v>
      </c>
    </row>
    <row r="25" spans="1:15" ht="15.75" customHeight="1" x14ac:dyDescent="0.25">
      <c r="A25" s="5" t="s">
        <v>91</v>
      </c>
      <c r="B25" s="15">
        <v>46294</v>
      </c>
      <c r="C25" s="16" t="str">
        <f>RIGHT(Table1[[#This Row],[Product ID]],2)</f>
        <v>CA</v>
      </c>
      <c r="D25" s="5" t="s">
        <v>92</v>
      </c>
      <c r="E25" s="5" t="s">
        <v>93</v>
      </c>
      <c r="F25" s="17">
        <v>800</v>
      </c>
      <c r="G25" s="5">
        <v>45</v>
      </c>
      <c r="H25" s="5" t="s">
        <v>27</v>
      </c>
      <c r="I25" s="10" t="s">
        <v>139</v>
      </c>
      <c r="O25" s="15" t="e">
        <f t="shared" si="0"/>
        <v>#VALUE!</v>
      </c>
    </row>
    <row r="26" spans="1:15" ht="15.75" customHeight="1" x14ac:dyDescent="0.25">
      <c r="A26" s="8" t="s">
        <v>94</v>
      </c>
      <c r="B26" s="15">
        <v>46176</v>
      </c>
      <c r="C26" s="16" t="str">
        <f>RIGHT(Table1[[#This Row],[Product ID]],2)</f>
        <v>CA</v>
      </c>
      <c r="D26" s="8" t="s">
        <v>77</v>
      </c>
      <c r="E26" s="8" t="s">
        <v>95</v>
      </c>
      <c r="F26" s="18">
        <v>130</v>
      </c>
      <c r="G26" s="8">
        <v>25</v>
      </c>
      <c r="H26" s="8" t="s">
        <v>31</v>
      </c>
      <c r="I26" s="10" t="s">
        <v>140</v>
      </c>
      <c r="O26" s="15" t="e">
        <f t="shared" si="0"/>
        <v>#VALUE!</v>
      </c>
    </row>
    <row r="27" spans="1:15" ht="15.75" customHeight="1" x14ac:dyDescent="0.25">
      <c r="A27" s="5" t="s">
        <v>96</v>
      </c>
      <c r="B27" s="15">
        <v>46214</v>
      </c>
      <c r="C27" s="16" t="str">
        <f>RIGHT(Table1[[#This Row],[Product ID]],2)</f>
        <v>CA</v>
      </c>
      <c r="D27" s="5" t="s">
        <v>48</v>
      </c>
      <c r="E27" s="5" t="s">
        <v>97</v>
      </c>
      <c r="F27" s="17">
        <v>400</v>
      </c>
      <c r="G27" s="5">
        <v>40</v>
      </c>
      <c r="H27" s="5" t="s">
        <v>35</v>
      </c>
      <c r="I27" s="10" t="s">
        <v>141</v>
      </c>
      <c r="O27" s="15" t="e">
        <f t="shared" si="0"/>
        <v>#VALUE!</v>
      </c>
    </row>
    <row r="28" spans="1:15" ht="15.75" customHeight="1" x14ac:dyDescent="0.25">
      <c r="A28" s="5" t="s">
        <v>98</v>
      </c>
      <c r="B28" s="15">
        <v>46088</v>
      </c>
      <c r="C28" s="16" t="str">
        <f>RIGHT(Table1[[#This Row],[Product ID]],2)</f>
        <v>CA</v>
      </c>
      <c r="D28" s="5" t="s">
        <v>99</v>
      </c>
      <c r="E28" s="5" t="s">
        <v>100</v>
      </c>
      <c r="F28" s="17">
        <v>60</v>
      </c>
      <c r="G28" s="5">
        <v>30</v>
      </c>
      <c r="H28" s="5" t="s">
        <v>31</v>
      </c>
      <c r="I28" s="10" t="s">
        <v>142</v>
      </c>
      <c r="O28" s="15" t="e">
        <f t="shared" si="0"/>
        <v>#VALUE!</v>
      </c>
    </row>
    <row r="29" spans="1:15" ht="15.75" customHeight="1" x14ac:dyDescent="0.25">
      <c r="A29" s="8" t="s">
        <v>101</v>
      </c>
      <c r="B29" s="15">
        <v>46125</v>
      </c>
      <c r="C29" s="16" t="str">
        <f>RIGHT(Table1[[#This Row],[Product ID]],2)</f>
        <v>CA</v>
      </c>
      <c r="D29" s="8" t="s">
        <v>102</v>
      </c>
      <c r="E29" s="8" t="s">
        <v>103</v>
      </c>
      <c r="F29" s="18">
        <v>40</v>
      </c>
      <c r="G29" s="8">
        <v>10</v>
      </c>
      <c r="H29" s="8" t="s">
        <v>35</v>
      </c>
      <c r="I29" s="10" t="s">
        <v>143</v>
      </c>
      <c r="O29" s="15" t="e">
        <f t="shared" si="0"/>
        <v>#VALUE!</v>
      </c>
    </row>
    <row r="30" spans="1:15" ht="15.75" customHeight="1" x14ac:dyDescent="0.25">
      <c r="A30" s="5" t="s">
        <v>104</v>
      </c>
      <c r="B30" s="15">
        <v>46166</v>
      </c>
      <c r="C30" s="16" t="str">
        <f>RIGHT(Table1[[#This Row],[Product ID]],2)</f>
        <v>CA</v>
      </c>
      <c r="D30" s="5" t="s">
        <v>89</v>
      </c>
      <c r="E30" s="5" t="s">
        <v>105</v>
      </c>
      <c r="F30" s="17">
        <v>130</v>
      </c>
      <c r="G30" s="5">
        <v>5</v>
      </c>
      <c r="H30" s="5" t="s">
        <v>27</v>
      </c>
      <c r="I30" s="10" t="s">
        <v>144</v>
      </c>
      <c r="O30" s="15" t="e">
        <f t="shared" si="0"/>
        <v>#VALUE!</v>
      </c>
    </row>
    <row r="31" spans="1:15" ht="15.75" customHeight="1" x14ac:dyDescent="0.25">
      <c r="A31" s="8" t="s">
        <v>106</v>
      </c>
      <c r="B31" s="15">
        <v>46358</v>
      </c>
      <c r="C31" s="16" t="str">
        <f>RIGHT(Table1[[#This Row],[Product ID]],2)</f>
        <v>CA</v>
      </c>
      <c r="D31" s="8" t="s">
        <v>107</v>
      </c>
      <c r="E31" s="8" t="s">
        <v>108</v>
      </c>
      <c r="F31" s="18">
        <v>50</v>
      </c>
      <c r="G31" s="8">
        <v>50</v>
      </c>
      <c r="H31" s="8" t="s">
        <v>31</v>
      </c>
      <c r="I31" s="10" t="s">
        <v>145</v>
      </c>
      <c r="O31" s="15" t="e">
        <f t="shared" si="0"/>
        <v>#VALUE!</v>
      </c>
    </row>
    <row r="32" spans="1:15" ht="15.75" customHeight="1" x14ac:dyDescent="0.25">
      <c r="A32" s="8" t="s">
        <v>109</v>
      </c>
      <c r="B32" s="15">
        <v>46212</v>
      </c>
      <c r="C32" s="16" t="str">
        <f>RIGHT(Table1[[#This Row],[Product ID]],2)</f>
        <v>FR</v>
      </c>
      <c r="D32" s="8" t="s">
        <v>110</v>
      </c>
      <c r="E32" s="8" t="s">
        <v>111</v>
      </c>
      <c r="F32" s="18">
        <v>100</v>
      </c>
      <c r="G32" s="8">
        <v>20</v>
      </c>
      <c r="H32" s="8" t="s">
        <v>71</v>
      </c>
      <c r="I32" s="10" t="s">
        <v>146</v>
      </c>
      <c r="O32" s="15" t="e">
        <f t="shared" si="0"/>
        <v>#VALUE!</v>
      </c>
    </row>
    <row r="33" spans="15:15" ht="15.75" customHeight="1" x14ac:dyDescent="0.25">
      <c r="O33" s="15" t="e">
        <f t="shared" si="0"/>
        <v>#VALUE!</v>
      </c>
    </row>
    <row r="34" spans="15:15" ht="15.75" customHeight="1" x14ac:dyDescent="0.25">
      <c r="O34" s="15" t="e">
        <f t="shared" si="0"/>
        <v>#VALUE!</v>
      </c>
    </row>
    <row r="35" spans="15:15" ht="15.75" customHeight="1" x14ac:dyDescent="0.25">
      <c r="O35" s="15" t="e">
        <f t="shared" si="0"/>
        <v>#VALUE!</v>
      </c>
    </row>
    <row r="36" spans="15:15" ht="15.75" customHeight="1" x14ac:dyDescent="0.25">
      <c r="O36" s="15" t="e">
        <f t="shared" si="0"/>
        <v>#VALUE!</v>
      </c>
    </row>
    <row r="37" spans="15:15" ht="15.75" customHeight="1" x14ac:dyDescent="0.25">
      <c r="O37" s="15" t="e">
        <f>DATEVALUE(SUBSTITUTE(B25," ","")&amp;"-2026")</f>
        <v>#VALUE!</v>
      </c>
    </row>
    <row r="38" spans="15:15" ht="15.75" customHeight="1" x14ac:dyDescent="0.25">
      <c r="O38" s="15" t="e">
        <f t="shared" si="0"/>
        <v>#VALUE!</v>
      </c>
    </row>
    <row r="39" spans="15:15" ht="15.75" customHeight="1" x14ac:dyDescent="0.25">
      <c r="O39" s="15" t="e">
        <f t="shared" si="0"/>
        <v>#VALUE!</v>
      </c>
    </row>
    <row r="40" spans="15:15" ht="15.75" customHeight="1" x14ac:dyDescent="0.25">
      <c r="O40" s="15" t="e">
        <f>DATEVALUE(SUBSTITUTE(B28," ","")&amp;"-2026")</f>
        <v>#VALUE!</v>
      </c>
    </row>
    <row r="41" spans="15:15" ht="15.75" customHeight="1" x14ac:dyDescent="0.25">
      <c r="O41" s="15" t="e">
        <f t="shared" si="0"/>
        <v>#VALUE!</v>
      </c>
    </row>
    <row r="42" spans="15:15" ht="15.75" customHeight="1" x14ac:dyDescent="0.25">
      <c r="O42" s="15" t="e">
        <f>DATEVALUE(SUBSTITUTE(B30," ","")&amp;"-2026")</f>
        <v>#VALUE!</v>
      </c>
    </row>
    <row r="43" spans="15:15" ht="15.75" customHeight="1" x14ac:dyDescent="0.25">
      <c r="O43" s="15" t="e">
        <f t="shared" si="0"/>
        <v>#VALUE!</v>
      </c>
    </row>
    <row r="44" spans="15:15" ht="15.75" customHeight="1" x14ac:dyDescent="0.25">
      <c r="O44" s="15" t="e">
        <f>DATEVALUE(SUBSTITUTE(B32," ","")&amp;"-2026")</f>
        <v>#VALUE!</v>
      </c>
    </row>
    <row r="45" spans="15:15" ht="15.75" customHeight="1" x14ac:dyDescent="0.25"/>
    <row r="46" spans="15:15" ht="15.75" customHeight="1" x14ac:dyDescent="0.25"/>
    <row r="47" spans="15:15" ht="15.75" customHeight="1" x14ac:dyDescent="0.25"/>
    <row r="48" spans="15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1:F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{6D104D59-82A5-4355-B3E6-AF0BF4F5B401}</x14:id>
        </ext>
      </extLst>
    </cfRule>
  </conditionalFormatting>
  <conditionalFormatting sqref="H1:H32">
    <cfRule type="containsText" dxfId="0" priority="1" operator="containsText" text="Electronics">
      <formula>NOT(ISERROR(SEARCH("Electronics",H1)))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104D59-82A5-4355-B3E6-AF0BF4F5B4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ARCHANA I</cp:lastModifiedBy>
  <dcterms:created xsi:type="dcterms:W3CDTF">2026-10-21T14:29:41Z</dcterms:created>
  <dcterms:modified xsi:type="dcterms:W3CDTF">2026-10-22T06:50:05Z</dcterms:modified>
</cp:coreProperties>
</file>